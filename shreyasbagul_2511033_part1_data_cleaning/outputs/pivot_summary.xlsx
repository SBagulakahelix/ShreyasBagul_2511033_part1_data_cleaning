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by_Region" sheetId="1" state="visible" r:id="rId1"/>
    <sheet name="Sales_by_Category" sheetId="2" state="visible" r:id="rId2"/>
    <sheet name="Orders_by_Ship_Mode" sheetId="3" state="visible" r:id="rId3"/>
    <sheet name="Margin_by_Segment" sheetId="4" state="visible" r:id="rId4"/>
    <sheet name="Issues_by_Region" sheetId="5" state="visible" r:id="rId5"/>
    <sheet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5" borderId="2" pivotButton="0" quotePrefix="0" xfId="0"/>
    <xf numFmtId="3" fontId="4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16" customWidth="1" min="4" max="4"/>
    <col width="12" customWidth="1" min="5" max="5"/>
  </cols>
  <sheetData>
    <row r="1" ht="25" customHeight="1">
      <c r="A1" s="1" t="inlineStr">
        <is>
          <t>SALES &amp; PROFIT BY REGION</t>
        </is>
      </c>
    </row>
    <row r="2" ht="18" customHeight="1">
      <c r="A2" s="2" t="inlineStr">
        <is>
          <t>Completed Sales Only</t>
        </is>
      </c>
    </row>
    <row r="3"/>
    <row r="4" ht="22" customHeight="1">
      <c r="A4" s="3" t="inlineStr">
        <is>
          <t>Region</t>
        </is>
      </c>
      <c r="B4" s="3" t="inlineStr">
        <is>
          <t>Sales</t>
        </is>
      </c>
      <c r="C4" s="3" t="inlineStr">
        <is>
          <t>Profit</t>
        </is>
      </c>
      <c r="D4" s="3" t="inlineStr">
        <is>
          <t>Profit Margin</t>
        </is>
      </c>
    </row>
    <row r="5" ht="20" customHeight="1">
      <c r="A5" s="4" t="inlineStr">
        <is>
          <t>South</t>
        </is>
      </c>
      <c r="B5" s="5" t="n">
        <v>1554249.649</v>
      </c>
      <c r="C5" s="5" t="n">
        <v>380767.609</v>
      </c>
      <c r="D5" s="6">
        <f>C5/B5</f>
        <v/>
      </c>
    </row>
    <row r="6" ht="20" customHeight="1">
      <c r="A6" s="7" t="inlineStr">
        <is>
          <t>West</t>
        </is>
      </c>
      <c r="B6" s="8" t="n">
        <v>1507583.9659</v>
      </c>
      <c r="C6" s="8" t="n">
        <v>438479.0259</v>
      </c>
      <c r="D6" s="9">
        <f>C6/B6</f>
        <v/>
      </c>
    </row>
    <row r="7" ht="20" customHeight="1">
      <c r="A7" s="4" t="inlineStr">
        <is>
          <t>East</t>
        </is>
      </c>
      <c r="B7" s="5" t="n">
        <v>1382236.5108</v>
      </c>
      <c r="C7" s="5" t="n">
        <v>415427.1308</v>
      </c>
      <c r="D7" s="6">
        <f>C7/B7</f>
        <v/>
      </c>
    </row>
    <row r="8" ht="20" customHeight="1">
      <c r="A8" s="7" t="inlineStr">
        <is>
          <t>North</t>
        </is>
      </c>
      <c r="B8" s="8" t="n">
        <v>1277426.019</v>
      </c>
      <c r="C8" s="8" t="n">
        <v>373842.629</v>
      </c>
      <c r="D8" s="9">
        <f>C8/B8</f>
        <v/>
      </c>
    </row>
    <row r="9" ht="20" customHeight="1">
      <c r="A9" s="4" t="inlineStr">
        <is>
          <t>Unknown</t>
        </is>
      </c>
      <c r="B9" s="5" t="n">
        <v>190747.3467</v>
      </c>
      <c r="C9" s="5" t="n">
        <v>66792.07670000001</v>
      </c>
      <c r="D9" s="6">
        <f>C9/B9</f>
        <v/>
      </c>
    </row>
    <row r="10" ht="22" customHeight="1">
      <c r="A10" s="10" t="inlineStr">
        <is>
          <t>Grand Total</t>
        </is>
      </c>
      <c r="B10" s="11">
        <f>SUM(B5:B9)</f>
        <v/>
      </c>
      <c r="C10" s="11">
        <f>SUM(C5:C9)</f>
        <v/>
      </c>
      <c r="D10" s="12">
        <f>C10/B10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21" customWidth="1" min="4" max="4"/>
    <col width="16" customWidth="1" min="5" max="5"/>
  </cols>
  <sheetData>
    <row r="1" ht="25" customHeight="1">
      <c r="A1" s="1" t="inlineStr">
        <is>
          <t>SALES &amp; PROFIT BY CATEGORY &amp; SUB-CATEGORY</t>
        </is>
      </c>
    </row>
    <row r="2" ht="18" customHeight="1">
      <c r="A2" s="2" t="inlineStr">
        <is>
          <t>Completed Sales Only</t>
        </is>
      </c>
    </row>
    <row r="3"/>
    <row r="4" ht="22" customHeight="1">
      <c r="A4" s="3" t="inlineStr">
        <is>
          <t>Category</t>
        </is>
      </c>
      <c r="B4" s="3" t="inlineStr">
        <is>
          <t>Sub-Category</t>
        </is>
      </c>
      <c r="C4" s="3" t="inlineStr">
        <is>
          <t>Sales</t>
        </is>
      </c>
      <c r="D4" s="3" t="inlineStr">
        <is>
          <t>Profit</t>
        </is>
      </c>
      <c r="E4" s="3" t="inlineStr">
        <is>
          <t>Profit Margin</t>
        </is>
      </c>
    </row>
    <row r="5" ht="20" customHeight="1">
      <c r="A5" s="4" t="inlineStr">
        <is>
          <t>Furniture</t>
        </is>
      </c>
      <c r="B5" s="4" t="inlineStr">
        <is>
          <t>Chairs</t>
        </is>
      </c>
      <c r="C5" s="5" t="n">
        <v>586817.5327</v>
      </c>
      <c r="D5" s="5" t="n">
        <v>178500.3027</v>
      </c>
      <c r="E5" s="6">
        <f>D5/C5</f>
        <v/>
      </c>
    </row>
    <row r="6" ht="20" customHeight="1">
      <c r="A6" s="7" t="inlineStr">
        <is>
          <t>Furniture</t>
        </is>
      </c>
      <c r="B6" s="7" t="inlineStr">
        <is>
          <t>Furnishings</t>
        </is>
      </c>
      <c r="C6" s="8" t="n">
        <v>503663.2248</v>
      </c>
      <c r="D6" s="8" t="n">
        <v>147474.5848</v>
      </c>
      <c r="E6" s="9">
        <f>D6/C6</f>
        <v/>
      </c>
    </row>
    <row r="7" ht="20" customHeight="1">
      <c r="A7" s="4" t="inlineStr">
        <is>
          <t>Furniture</t>
        </is>
      </c>
      <c r="B7" s="4" t="inlineStr">
        <is>
          <t>Tables</t>
        </is>
      </c>
      <c r="C7" s="5" t="n">
        <v>420185.329</v>
      </c>
      <c r="D7" s="5" t="n">
        <v>127253.689</v>
      </c>
      <c r="E7" s="6">
        <f>D7/C7</f>
        <v/>
      </c>
    </row>
    <row r="8" ht="20" customHeight="1">
      <c r="A8" s="7" t="inlineStr">
        <is>
          <t>Furniture</t>
        </is>
      </c>
      <c r="B8" s="7" t="inlineStr">
        <is>
          <t>Bookcases</t>
        </is>
      </c>
      <c r="C8" s="8" t="n">
        <v>410143.2615</v>
      </c>
      <c r="D8" s="8" t="n">
        <v>105141.2315</v>
      </c>
      <c r="E8" s="9">
        <f>D8/C8</f>
        <v/>
      </c>
    </row>
    <row r="9" ht="20" customHeight="1">
      <c r="A9" s="4" t="inlineStr">
        <is>
          <t>Office Supplies</t>
        </is>
      </c>
      <c r="B9" s="4" t="inlineStr">
        <is>
          <t>Storage</t>
        </is>
      </c>
      <c r="C9" s="5" t="n">
        <v>544104.3763</v>
      </c>
      <c r="D9" s="5" t="n">
        <v>136799.0463</v>
      </c>
      <c r="E9" s="6">
        <f>D9/C9</f>
        <v/>
      </c>
    </row>
    <row r="10" ht="20" customHeight="1">
      <c r="A10" s="7" t="inlineStr">
        <is>
          <t>Office Supplies</t>
        </is>
      </c>
      <c r="B10" s="7" t="inlineStr">
        <is>
          <t>Paper</t>
        </is>
      </c>
      <c r="C10" s="8" t="n">
        <v>448811.1493</v>
      </c>
      <c r="D10" s="8" t="n">
        <v>124427.8093</v>
      </c>
      <c r="E10" s="9">
        <f>D10/C10</f>
        <v/>
      </c>
    </row>
    <row r="11" ht="20" customHeight="1">
      <c r="A11" s="4" t="inlineStr">
        <is>
          <t>Office Supplies</t>
        </is>
      </c>
      <c r="B11" s="4" t="inlineStr">
        <is>
          <t>Binders</t>
        </is>
      </c>
      <c r="C11" s="5" t="n">
        <v>344610.6126</v>
      </c>
      <c r="D11" s="5" t="n">
        <v>110979.2426</v>
      </c>
      <c r="E11" s="6">
        <f>D11/C11</f>
        <v/>
      </c>
    </row>
    <row r="12" ht="20" customHeight="1">
      <c r="A12" s="7" t="inlineStr">
        <is>
          <t>Office Supplies</t>
        </is>
      </c>
      <c r="B12" s="7" t="inlineStr">
        <is>
          <t>Art</t>
        </is>
      </c>
      <c r="C12" s="8" t="n">
        <v>300592.4375</v>
      </c>
      <c r="D12" s="8" t="n">
        <v>80200.77749999998</v>
      </c>
      <c r="E12" s="9">
        <f>D12/C12</f>
        <v/>
      </c>
    </row>
    <row r="13" ht="20" customHeight="1">
      <c r="A13" s="4" t="inlineStr">
        <is>
          <t>Office Supplies</t>
        </is>
      </c>
      <c r="B13" s="4" t="inlineStr">
        <is>
          <t>Labels</t>
        </is>
      </c>
      <c r="C13" s="5" t="n">
        <v>211389.2928</v>
      </c>
      <c r="D13" s="5" t="n">
        <v>67385.38279999999</v>
      </c>
      <c r="E13" s="6">
        <f>D13/C13</f>
        <v/>
      </c>
    </row>
    <row r="14" ht="20" customHeight="1">
      <c r="A14" s="7" t="inlineStr">
        <is>
          <t>Technology</t>
        </is>
      </c>
      <c r="B14" s="7" t="inlineStr">
        <is>
          <t>Copiers</t>
        </is>
      </c>
      <c r="C14" s="8" t="n">
        <v>670579.7807999999</v>
      </c>
      <c r="D14" s="8" t="n">
        <v>194514.4408</v>
      </c>
      <c r="E14" s="9">
        <f>D14/C14</f>
        <v/>
      </c>
    </row>
    <row r="15" ht="20" customHeight="1">
      <c r="A15" s="4" t="inlineStr">
        <is>
          <t>Technology</t>
        </is>
      </c>
      <c r="B15" s="4" t="inlineStr">
        <is>
          <t>Phones</t>
        </is>
      </c>
      <c r="C15" s="5" t="n">
        <v>551819.2936</v>
      </c>
      <c r="D15" s="5" t="n">
        <v>136327.6236</v>
      </c>
      <c r="E15" s="6">
        <f>D15/C15</f>
        <v/>
      </c>
    </row>
    <row r="16" ht="20" customHeight="1">
      <c r="A16" s="7" t="inlineStr">
        <is>
          <t>Technology</t>
        </is>
      </c>
      <c r="B16" s="7" t="inlineStr">
        <is>
          <t>Accessories</t>
        </is>
      </c>
      <c r="C16" s="8" t="n">
        <v>520097.4445</v>
      </c>
      <c r="D16" s="8" t="n">
        <v>148006.4545</v>
      </c>
      <c r="E16" s="9">
        <f>D16/C16</f>
        <v/>
      </c>
    </row>
    <row r="17" ht="20" customHeight="1">
      <c r="A17" s="4" t="inlineStr">
        <is>
          <t>Technology</t>
        </is>
      </c>
      <c r="B17" s="4" t="inlineStr">
        <is>
          <t>Machines</t>
        </is>
      </c>
      <c r="C17" s="5" t="n">
        <v>399429.756</v>
      </c>
      <c r="D17" s="5" t="n">
        <v>118297.886</v>
      </c>
      <c r="E17" s="6">
        <f>D17/C17</f>
        <v/>
      </c>
    </row>
    <row r="18" ht="22" customHeight="1">
      <c r="A18" s="10" t="inlineStr">
        <is>
          <t>Grand Total</t>
        </is>
      </c>
      <c r="B18" s="13" t="inlineStr"/>
      <c r="C18" s="11">
        <f>SUM(C5:C17)</f>
        <v/>
      </c>
      <c r="D18" s="11">
        <f>SUM(D5:D17)</f>
        <v/>
      </c>
      <c r="E18" s="12">
        <f>D18/C18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2" customWidth="1" min="3" max="3"/>
    <col width="12" customWidth="1" min="4" max="4"/>
    <col width="12" customWidth="1" min="5" max="5"/>
  </cols>
  <sheetData>
    <row r="1" ht="25" customHeight="1">
      <c r="A1" s="1" t="inlineStr">
        <is>
          <t>ORDER COUNT BY SHIP MODE</t>
        </is>
      </c>
    </row>
    <row r="2" ht="18" customHeight="1">
      <c r="A2" s="2" t="inlineStr">
        <is>
          <t>Completed Sales Only</t>
        </is>
      </c>
    </row>
    <row r="3"/>
    <row r="4" ht="22" customHeight="1">
      <c r="A4" s="3" t="inlineStr">
        <is>
          <t>Ship Mode</t>
        </is>
      </c>
      <c r="B4" s="3" t="inlineStr">
        <is>
          <t>Order Count</t>
        </is>
      </c>
      <c r="C4" s="3" t="inlineStr">
        <is>
          <t>Percentage of Total</t>
        </is>
      </c>
    </row>
    <row r="5" ht="20" customHeight="1">
      <c r="A5" s="4" t="inlineStr">
        <is>
          <t>Standard Class</t>
        </is>
      </c>
      <c r="B5" s="14" t="n">
        <v>157</v>
      </c>
      <c r="C5" s="6">
        <f>B5/B10</f>
        <v/>
      </c>
    </row>
    <row r="6" ht="20" customHeight="1">
      <c r="A6" s="7" t="inlineStr">
        <is>
          <t>First Class</t>
        </is>
      </c>
      <c r="B6" s="15" t="n">
        <v>155</v>
      </c>
      <c r="C6" s="9">
        <f>B6/B10</f>
        <v/>
      </c>
    </row>
    <row r="7" ht="20" customHeight="1">
      <c r="A7" s="4" t="inlineStr">
        <is>
          <t>Second Class</t>
        </is>
      </c>
      <c r="B7" s="14" t="n">
        <v>144</v>
      </c>
      <c r="C7" s="6">
        <f>B7/B10</f>
        <v/>
      </c>
    </row>
    <row r="8" ht="20" customHeight="1">
      <c r="A8" s="7" t="inlineStr">
        <is>
          <t>Same Day</t>
        </is>
      </c>
      <c r="B8" s="15" t="n">
        <v>132</v>
      </c>
      <c r="C8" s="9">
        <f>B8/B10</f>
        <v/>
      </c>
    </row>
    <row r="9" ht="20" customHeight="1">
      <c r="A9" s="4" t="inlineStr">
        <is>
          <t>Unknown</t>
        </is>
      </c>
      <c r="B9" s="14" t="n">
        <v>14</v>
      </c>
      <c r="C9" s="6">
        <f>B9/B10</f>
        <v/>
      </c>
    </row>
    <row r="10" ht="22" customHeight="1">
      <c r="A10" s="10" t="inlineStr">
        <is>
          <t>Grand Total</t>
        </is>
      </c>
      <c r="B10" s="16">
        <f>SUM(B5:B9)</f>
        <v/>
      </c>
      <c r="C10" s="12">
        <f>SUM(C5:C9)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1" customWidth="1" min="3" max="3"/>
    <col width="16" customWidth="1" min="4" max="4"/>
    <col width="12" customWidth="1" min="5" max="5"/>
  </cols>
  <sheetData>
    <row r="1" ht="25" customHeight="1">
      <c r="A1" s="1" t="inlineStr">
        <is>
          <t>PROFIT MARGIN BY CUSTOMER SEGMENT</t>
        </is>
      </c>
    </row>
    <row r="2" ht="18" customHeight="1">
      <c r="A2" s="2" t="inlineStr">
        <is>
          <t>Completed Sales Only</t>
        </is>
      </c>
    </row>
    <row r="3"/>
    <row r="4" ht="22" customHeight="1">
      <c r="A4" s="3" t="inlineStr">
        <is>
          <t>Segment</t>
        </is>
      </c>
      <c r="B4" s="3" t="inlineStr">
        <is>
          <t>Sales</t>
        </is>
      </c>
      <c r="C4" s="3" t="inlineStr">
        <is>
          <t>Profit</t>
        </is>
      </c>
      <c r="D4" s="3" t="inlineStr">
        <is>
          <t>Profit Margin</t>
        </is>
      </c>
    </row>
    <row r="5" ht="20" customHeight="1">
      <c r="A5" s="4" t="inlineStr">
        <is>
          <t>Small Business</t>
        </is>
      </c>
      <c r="B5" s="5" t="n">
        <v>1650952.2321</v>
      </c>
      <c r="C5" s="5" t="n">
        <v>464787.4021</v>
      </c>
      <c r="D5" s="6">
        <f>C5/B5</f>
        <v/>
      </c>
    </row>
    <row r="6" ht="20" customHeight="1">
      <c r="A6" s="7" t="inlineStr">
        <is>
          <t>Home Office</t>
        </is>
      </c>
      <c r="B6" s="8" t="n">
        <v>1541292.8321</v>
      </c>
      <c r="C6" s="8" t="n">
        <v>451230.9421</v>
      </c>
      <c r="D6" s="9">
        <f>C6/B6</f>
        <v/>
      </c>
    </row>
    <row r="7" ht="20" customHeight="1">
      <c r="A7" s="4" t="inlineStr">
        <is>
          <t>Consumer</t>
        </is>
      </c>
      <c r="B7" s="5" t="n">
        <v>1406891.9993</v>
      </c>
      <c r="C7" s="5" t="n">
        <v>372216.6993</v>
      </c>
      <c r="D7" s="6">
        <f>C7/B7</f>
        <v/>
      </c>
    </row>
    <row r="8" ht="20" customHeight="1">
      <c r="A8" s="7" t="inlineStr">
        <is>
          <t>Corporate</t>
        </is>
      </c>
      <c r="B8" s="8" t="n">
        <v>1313106.4279</v>
      </c>
      <c r="C8" s="8" t="n">
        <v>387073.4279</v>
      </c>
      <c r="D8" s="9">
        <f>C8/B8</f>
        <v/>
      </c>
    </row>
    <row r="9" ht="22" customHeight="1">
      <c r="A9" s="10" t="inlineStr">
        <is>
          <t>Grand Total</t>
        </is>
      </c>
      <c r="B9" s="11">
        <f>SUM(B5:B8)</f>
        <v/>
      </c>
      <c r="C9" s="11">
        <f>SUM(C5:C8)</f>
        <v/>
      </c>
      <c r="D9" s="12">
        <f>C9/B9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7" customWidth="1" min="3" max="3"/>
    <col width="18" customWidth="1" min="4" max="4"/>
    <col width="20" customWidth="1" min="5" max="5"/>
    <col width="15" customWidth="1" min="6" max="6"/>
  </cols>
  <sheetData>
    <row r="1" ht="25" customHeight="1">
      <c r="A1" s="1" t="inlineStr">
        <is>
          <t>REFUNDED / CANCELLED / FAILED ORDERS BY REGION</t>
        </is>
      </c>
    </row>
    <row r="2" ht="18" customHeight="1">
      <c r="A2" s="2" t="inlineStr">
        <is>
          <t>All Non-Completed or Flagged Orders</t>
        </is>
      </c>
    </row>
    <row r="3"/>
    <row r="4" ht="22" customHeight="1">
      <c r="A4" s="3" t="inlineStr">
        <is>
          <t>Region</t>
        </is>
      </c>
      <c r="B4" s="3" t="inlineStr">
        <is>
          <t>Cancelled Count</t>
        </is>
      </c>
      <c r="C4" s="3" t="inlineStr">
        <is>
          <t>Returned Count</t>
        </is>
      </c>
      <c r="D4" s="3" t="inlineStr">
        <is>
          <t>Failed Payments</t>
        </is>
      </c>
      <c r="E4" s="3" t="inlineStr">
        <is>
          <t>Refunded Payments</t>
        </is>
      </c>
      <c r="F4" s="3" t="inlineStr">
        <is>
          <t>Total Issues</t>
        </is>
      </c>
    </row>
    <row r="5" ht="20" customHeight="1">
      <c r="A5" s="4" t="inlineStr">
        <is>
          <t>North</t>
        </is>
      </c>
      <c r="B5" s="14" t="n">
        <v>48</v>
      </c>
      <c r="C5" s="14" t="n">
        <v>37</v>
      </c>
      <c r="D5" s="14" t="n">
        <v>20</v>
      </c>
      <c r="E5" s="14" t="n">
        <v>20</v>
      </c>
      <c r="F5" s="14">
        <f>SUM(B5:E5)</f>
        <v/>
      </c>
    </row>
    <row r="6" ht="20" customHeight="1">
      <c r="A6" s="7" t="inlineStr">
        <is>
          <t>South</t>
        </is>
      </c>
      <c r="B6" s="15" t="n">
        <v>35</v>
      </c>
      <c r="C6" s="15" t="n">
        <v>37</v>
      </c>
      <c r="D6" s="15" t="n">
        <v>20</v>
      </c>
      <c r="E6" s="15" t="n">
        <v>20</v>
      </c>
      <c r="F6" s="15">
        <f>SUM(B6:E6)</f>
        <v/>
      </c>
    </row>
    <row r="7" ht="20" customHeight="1">
      <c r="A7" s="4" t="inlineStr">
        <is>
          <t>East</t>
        </is>
      </c>
      <c r="B7" s="14" t="n">
        <v>30</v>
      </c>
      <c r="C7" s="14" t="n">
        <v>45</v>
      </c>
      <c r="D7" s="14" t="n">
        <v>13</v>
      </c>
      <c r="E7" s="14" t="n">
        <v>14</v>
      </c>
      <c r="F7" s="14">
        <f>SUM(B7:E7)</f>
        <v/>
      </c>
    </row>
    <row r="8" ht="20" customHeight="1">
      <c r="A8" s="7" t="inlineStr">
        <is>
          <t>West</t>
        </is>
      </c>
      <c r="B8" s="15" t="n">
        <v>30</v>
      </c>
      <c r="C8" s="15" t="n">
        <v>40</v>
      </c>
      <c r="D8" s="15" t="n">
        <v>14</v>
      </c>
      <c r="E8" s="15" t="n">
        <v>14</v>
      </c>
      <c r="F8" s="15">
        <f>SUM(B8:E8)</f>
        <v/>
      </c>
    </row>
    <row r="9" ht="20" customHeight="1">
      <c r="A9" s="4" t="inlineStr">
        <is>
          <t>Unknown</t>
        </is>
      </c>
      <c r="B9" s="14" t="n">
        <v>2</v>
      </c>
      <c r="C9" s="14" t="n">
        <v>4</v>
      </c>
      <c r="D9" s="14" t="n">
        <v>2</v>
      </c>
      <c r="E9" s="14" t="n">
        <v>3</v>
      </c>
      <c r="F9" s="14">
        <f>SUM(B9:E9)</f>
        <v/>
      </c>
    </row>
    <row r="10" ht="22" customHeight="1">
      <c r="A10" s="10" t="inlineStr">
        <is>
          <t>Grand Total</t>
        </is>
      </c>
      <c r="B10" s="16">
        <f>SUM(B5:B9)</f>
        <v/>
      </c>
      <c r="C10" s="16">
        <f>SUM(C5:C9)</f>
        <v/>
      </c>
      <c r="D10" s="16">
        <f>SUM(D5:D9)</f>
        <v/>
      </c>
      <c r="E10" s="16">
        <f>SUM(E5:E9)</f>
        <v/>
      </c>
      <c r="F10" s="16">
        <f>SUM(F5:F9)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1" customWidth="1" min="3" max="3"/>
    <col width="21" customWidth="1" min="4" max="4"/>
    <col width="16" customWidth="1" min="5" max="5"/>
  </cols>
  <sheetData>
    <row r="1" ht="25" customHeight="1">
      <c r="A1" s="1" t="inlineStr">
        <is>
          <t>MONTHLY SALES AND PROFIT TREND</t>
        </is>
      </c>
    </row>
    <row r="2" ht="18" customHeight="1">
      <c r="A2" s="2" t="inlineStr">
        <is>
          <t>Completed Sales Only</t>
        </is>
      </c>
    </row>
    <row r="3"/>
    <row r="4" ht="22" customHeight="1">
      <c r="A4" s="3" t="inlineStr">
        <is>
          <t>Year</t>
        </is>
      </c>
      <c r="B4" s="3" t="inlineStr">
        <is>
          <t>Month</t>
        </is>
      </c>
      <c r="C4" s="3" t="inlineStr">
        <is>
          <t>Sales</t>
        </is>
      </c>
      <c r="D4" s="3" t="inlineStr">
        <is>
          <t>Profit</t>
        </is>
      </c>
      <c r="E4" s="3" t="inlineStr">
        <is>
          <t>Profit Margin</t>
        </is>
      </c>
    </row>
    <row r="5" ht="20" customHeight="1">
      <c r="A5" s="4" t="n">
        <v>2024</v>
      </c>
      <c r="B5" s="4" t="inlineStr">
        <is>
          <t>January</t>
        </is>
      </c>
      <c r="C5" s="5" t="n">
        <v>246467.2588</v>
      </c>
      <c r="D5" s="5" t="n">
        <v>82439.7788</v>
      </c>
      <c r="E5" s="6">
        <f>D5/C5</f>
        <v/>
      </c>
    </row>
    <row r="6" ht="20" customHeight="1">
      <c r="A6" s="7" t="n">
        <v>2024</v>
      </c>
      <c r="B6" s="7" t="inlineStr">
        <is>
          <t>February</t>
        </is>
      </c>
      <c r="C6" s="8" t="n">
        <v>252055.3005</v>
      </c>
      <c r="D6" s="8" t="n">
        <v>64456.73050000001</v>
      </c>
      <c r="E6" s="9">
        <f>D6/C6</f>
        <v/>
      </c>
    </row>
    <row r="7" ht="20" customHeight="1">
      <c r="A7" s="4" t="n">
        <v>2024</v>
      </c>
      <c r="B7" s="4" t="inlineStr">
        <is>
          <t>March</t>
        </is>
      </c>
      <c r="C7" s="5" t="n">
        <v>243273.037</v>
      </c>
      <c r="D7" s="5" t="n">
        <v>71061.977</v>
      </c>
      <c r="E7" s="6">
        <f>D7/C7</f>
        <v/>
      </c>
    </row>
    <row r="8" ht="20" customHeight="1">
      <c r="A8" s="7" t="n">
        <v>2024</v>
      </c>
      <c r="B8" s="7" t="inlineStr">
        <is>
          <t>April</t>
        </is>
      </c>
      <c r="C8" s="8" t="n">
        <v>241541.505</v>
      </c>
      <c r="D8" s="8" t="n">
        <v>67927.845</v>
      </c>
      <c r="E8" s="9">
        <f>D8/C8</f>
        <v/>
      </c>
    </row>
    <row r="9" ht="20" customHeight="1">
      <c r="A9" s="4" t="n">
        <v>2024</v>
      </c>
      <c r="B9" s="4" t="inlineStr">
        <is>
          <t>May</t>
        </is>
      </c>
      <c r="C9" s="5" t="n">
        <v>332078.3808</v>
      </c>
      <c r="D9" s="5" t="n">
        <v>64043.3308</v>
      </c>
      <c r="E9" s="6">
        <f>D9/C9</f>
        <v/>
      </c>
    </row>
    <row r="10" ht="20" customHeight="1">
      <c r="A10" s="7" t="n">
        <v>2024</v>
      </c>
      <c r="B10" s="7" t="inlineStr">
        <is>
          <t>June</t>
        </is>
      </c>
      <c r="C10" s="8" t="n">
        <v>392980.6425</v>
      </c>
      <c r="D10" s="8" t="n">
        <v>114064.2825</v>
      </c>
      <c r="E10" s="9">
        <f>D10/C10</f>
        <v/>
      </c>
    </row>
    <row r="11" ht="20" customHeight="1">
      <c r="A11" s="4" t="n">
        <v>2024</v>
      </c>
      <c r="B11" s="4" t="inlineStr">
        <is>
          <t>July</t>
        </is>
      </c>
      <c r="C11" s="5" t="n">
        <v>238564.2613</v>
      </c>
      <c r="D11" s="5" t="n">
        <v>65495.6113</v>
      </c>
      <c r="E11" s="6">
        <f>D11/C11</f>
        <v/>
      </c>
    </row>
    <row r="12" ht="20" customHeight="1">
      <c r="A12" s="7" t="n">
        <v>2024</v>
      </c>
      <c r="B12" s="7" t="inlineStr">
        <is>
          <t>August</t>
        </is>
      </c>
      <c r="C12" s="8" t="n">
        <v>241428.6655</v>
      </c>
      <c r="D12" s="8" t="n">
        <v>74723.3955</v>
      </c>
      <c r="E12" s="9">
        <f>D12/C12</f>
        <v/>
      </c>
    </row>
    <row r="13" ht="20" customHeight="1">
      <c r="A13" s="4" t="n">
        <v>2024</v>
      </c>
      <c r="B13" s="4" t="inlineStr">
        <is>
          <t>September</t>
        </is>
      </c>
      <c r="C13" s="5" t="n">
        <v>228453.0298</v>
      </c>
      <c r="D13" s="5" t="n">
        <v>59446.8098</v>
      </c>
      <c r="E13" s="6">
        <f>D13/C13</f>
        <v/>
      </c>
    </row>
    <row r="14" ht="20" customHeight="1">
      <c r="A14" s="7" t="n">
        <v>2024</v>
      </c>
      <c r="B14" s="7" t="inlineStr">
        <is>
          <t>October</t>
        </is>
      </c>
      <c r="C14" s="8" t="n">
        <v>334481.56</v>
      </c>
      <c r="D14" s="8" t="n">
        <v>83533.35000000001</v>
      </c>
      <c r="E14" s="9">
        <f>D14/C14</f>
        <v/>
      </c>
    </row>
    <row r="15" ht="20" customHeight="1">
      <c r="A15" s="4" t="n">
        <v>2024</v>
      </c>
      <c r="B15" s="4" t="inlineStr">
        <is>
          <t>November</t>
        </is>
      </c>
      <c r="C15" s="5" t="n">
        <v>260061.653</v>
      </c>
      <c r="D15" s="5" t="n">
        <v>91770.353</v>
      </c>
      <c r="E15" s="6">
        <f>D15/C15</f>
        <v/>
      </c>
    </row>
    <row r="16" ht="20" customHeight="1">
      <c r="A16" s="7" t="n">
        <v>2024</v>
      </c>
      <c r="B16" s="7" t="inlineStr">
        <is>
          <t>December</t>
        </is>
      </c>
      <c r="C16" s="8" t="n">
        <v>201157.157</v>
      </c>
      <c r="D16" s="8" t="n">
        <v>56327.18699999999</v>
      </c>
      <c r="E16" s="9">
        <f>D16/C16</f>
        <v/>
      </c>
    </row>
    <row r="17" ht="20" customHeight="1">
      <c r="A17" s="4" t="n">
        <v>2025</v>
      </c>
      <c r="B17" s="4" t="inlineStr">
        <is>
          <t>January</t>
        </is>
      </c>
      <c r="C17" s="5" t="n">
        <v>271758.1518</v>
      </c>
      <c r="D17" s="5" t="n">
        <v>74920.4918</v>
      </c>
      <c r="E17" s="6">
        <f>D17/C17</f>
        <v/>
      </c>
    </row>
    <row r="18" ht="20" customHeight="1">
      <c r="A18" s="7" t="n">
        <v>2025</v>
      </c>
      <c r="B18" s="7" t="inlineStr">
        <is>
          <t>February</t>
        </is>
      </c>
      <c r="C18" s="8" t="n">
        <v>394995.7185</v>
      </c>
      <c r="D18" s="8" t="n">
        <v>117043.4285</v>
      </c>
      <c r="E18" s="9">
        <f>D18/C18</f>
        <v/>
      </c>
    </row>
    <row r="19" ht="20" customHeight="1">
      <c r="A19" s="4" t="n">
        <v>2025</v>
      </c>
      <c r="B19" s="4" t="inlineStr">
        <is>
          <t>March</t>
        </is>
      </c>
      <c r="C19" s="5" t="n">
        <v>322614.2865</v>
      </c>
      <c r="D19" s="5" t="n">
        <v>92228.46649999999</v>
      </c>
      <c r="E19" s="6">
        <f>D19/C19</f>
        <v/>
      </c>
    </row>
    <row r="20" ht="20" customHeight="1">
      <c r="A20" s="7" t="n">
        <v>2025</v>
      </c>
      <c r="B20" s="7" t="inlineStr">
        <is>
          <t>April</t>
        </is>
      </c>
      <c r="C20" s="8" t="n">
        <v>293419.4948</v>
      </c>
      <c r="D20" s="8" t="n">
        <v>80871.34480000001</v>
      </c>
      <c r="E20" s="9">
        <f>D20/C20</f>
        <v/>
      </c>
    </row>
    <row r="21" ht="20" customHeight="1">
      <c r="A21" s="4" t="n">
        <v>2025</v>
      </c>
      <c r="B21" s="4" t="inlineStr">
        <is>
          <t>May</t>
        </is>
      </c>
      <c r="C21" s="5" t="n">
        <v>246177.8465</v>
      </c>
      <c r="D21" s="5" t="n">
        <v>76545.44650000001</v>
      </c>
      <c r="E21" s="6">
        <f>D21/C21</f>
        <v/>
      </c>
    </row>
    <row r="22" ht="20" customHeight="1">
      <c r="A22" s="7" t="n">
        <v>2025</v>
      </c>
      <c r="B22" s="7" t="inlineStr">
        <is>
          <t>June</t>
        </is>
      </c>
      <c r="C22" s="8" t="n">
        <v>209793.8055</v>
      </c>
      <c r="D22" s="8" t="n">
        <v>48296.1755</v>
      </c>
      <c r="E22" s="9">
        <f>D22/C22</f>
        <v/>
      </c>
    </row>
    <row r="23" ht="20" customHeight="1">
      <c r="A23" s="4" t="n">
        <v>2025</v>
      </c>
      <c r="B23" s="4" t="inlineStr">
        <is>
          <t>July</t>
        </is>
      </c>
      <c r="C23" s="5" t="n">
        <v>259482.1496</v>
      </c>
      <c r="D23" s="5" t="n">
        <v>75006.3196</v>
      </c>
      <c r="E23" s="6">
        <f>D23/C23</f>
        <v/>
      </c>
    </row>
    <row r="24" ht="20" customHeight="1">
      <c r="A24" s="7" t="n">
        <v>2025</v>
      </c>
      <c r="B24" s="7" t="inlineStr">
        <is>
          <t>August</t>
        </is>
      </c>
      <c r="C24" s="8" t="n">
        <v>262335.2845</v>
      </c>
      <c r="D24" s="8" t="n">
        <v>82704.96449999999</v>
      </c>
      <c r="E24" s="9">
        <f>D24/C24</f>
        <v/>
      </c>
    </row>
    <row r="25" ht="20" customHeight="1">
      <c r="A25" s="4" t="n">
        <v>2025</v>
      </c>
      <c r="B25" s="4" t="inlineStr">
        <is>
          <t>September</t>
        </is>
      </c>
      <c r="C25" s="5" t="n">
        <v>317689.498</v>
      </c>
      <c r="D25" s="5" t="n">
        <v>95438.908</v>
      </c>
      <c r="E25" s="6">
        <f>D25/C25</f>
        <v/>
      </c>
    </row>
    <row r="26" ht="20" customHeight="1">
      <c r="A26" s="7" t="n">
        <v>2025</v>
      </c>
      <c r="B26" s="7" t="inlineStr">
        <is>
          <t>October</t>
        </is>
      </c>
      <c r="C26" s="8" t="n">
        <v>121434.8045</v>
      </c>
      <c r="D26" s="8" t="n">
        <v>36962.27449999999</v>
      </c>
      <c r="E26" s="9">
        <f>D26/C26</f>
        <v/>
      </c>
    </row>
    <row r="27" ht="22" customHeight="1">
      <c r="A27" s="10" t="inlineStr">
        <is>
          <t>Grand Total</t>
        </is>
      </c>
      <c r="B27" s="13" t="inlineStr"/>
      <c r="C27" s="11">
        <f>SUM(C5:C26)</f>
        <v/>
      </c>
      <c r="D27" s="11">
        <f>SUM(D5:D26)</f>
        <v/>
      </c>
      <c r="E27" s="12">
        <f>D27/C27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2026-06-22T06:11:02Z</dcterms:created>
  <dcterms:modified xsi:type="dcterms:W3CDTF">2026-06-22T06:11:02Z</dcterms:modified>
</cp:coreProperties>
</file>